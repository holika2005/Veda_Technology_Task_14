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'Orders'!$A$1:$J$21</definedName>
    <definedName name="_xlnm._FilterDatabase" localSheetId="1" hidden="1">'Summary'!$A$1:$D$4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s" displayName="Orders" ref="A1:J21" headerRowCount="1">
  <autoFilter ref="A1:J21"/>
  <tableColumns count="10">
    <tableColumn id="1" name="Order ID"/>
    <tableColumn id="2" name="Order Date"/>
    <tableColumn id="3" name="Segment"/>
    <tableColumn id="4" name="Region"/>
    <tableColumn id="5" name="Category"/>
    <tableColumn id="6" name="Sub-Category"/>
    <tableColumn id="7" name="Quantity"/>
    <tableColumn id="8" name="Unit Price"/>
    <tableColumn id="9" name="Sales"/>
    <tableColumn id="10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mmaryKPIs" displayName="SummaryKPIs" ref="A1:D4" headerRowCount="1">
  <autoFilter ref="A1:D4"/>
  <tableColumns count="4">
    <tableColumn id="1" name="KPI"/>
    <tableColumn id="2" name="Excel Formula"/>
    <tableColumn id="3" name="Calculated Value"/>
    <tableColumn id="4" name="Meaning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7" customWidth="1" min="5" max="5"/>
    <col width="14" customWidth="1" min="6" max="6"/>
    <col width="12" customWidth="1" min="7" max="7"/>
    <col width="12" customWidth="1" min="8" max="8"/>
    <col width="19" customWidth="1" min="9" max="9"/>
    <col width="12" customWidth="1" min="10" max="10"/>
  </cols>
  <sheetData>
    <row r="1" ht="28" customHeight="1">
      <c r="A1" s="3" t="inlineStr">
        <is>
          <t>Order ID</t>
        </is>
      </c>
      <c r="B1" s="3" t="inlineStr">
        <is>
          <t>Order Date</t>
        </is>
      </c>
      <c r="C1" s="3" t="inlineStr">
        <is>
          <t>Segment</t>
        </is>
      </c>
      <c r="D1" s="3" t="inlineStr">
        <is>
          <t>Region</t>
        </is>
      </c>
      <c r="E1" s="3" t="inlineStr">
        <is>
          <t>Category</t>
        </is>
      </c>
      <c r="F1" s="3" t="inlineStr">
        <is>
          <t>Sub-Category</t>
        </is>
      </c>
      <c r="G1" s="3" t="inlineStr">
        <is>
          <t>Quantity</t>
        </is>
      </c>
      <c r="H1" s="3" t="inlineStr">
        <is>
          <t>Unit Price</t>
        </is>
      </c>
      <c r="I1" s="3" t="inlineStr">
        <is>
          <t>Sales</t>
        </is>
      </c>
      <c r="J1" s="3" t="inlineStr">
        <is>
          <t>Profit</t>
        </is>
      </c>
    </row>
    <row r="2">
      <c r="A2" t="inlineStr">
        <is>
          <t>CA-1001</t>
        </is>
      </c>
      <c r="B2" s="4" t="n">
        <v>45294</v>
      </c>
      <c r="C2" t="inlineStr">
        <is>
          <t>Consumer</t>
        </is>
      </c>
      <c r="D2" t="inlineStr">
        <is>
          <t>West</t>
        </is>
      </c>
      <c r="E2" t="inlineStr">
        <is>
          <t>Technology</t>
        </is>
      </c>
      <c r="F2" t="inlineStr">
        <is>
          <t>Phones</t>
        </is>
      </c>
      <c r="G2" t="n">
        <v>2</v>
      </c>
      <c r="H2" s="5" t="n">
        <v>199.99</v>
      </c>
      <c r="I2" s="5" t="n">
        <v>399.98</v>
      </c>
      <c r="J2" s="5" t="n">
        <v>80</v>
      </c>
    </row>
    <row r="3">
      <c r="A3" t="inlineStr">
        <is>
          <t>CA-1002</t>
        </is>
      </c>
      <c r="B3" s="4" t="n">
        <v>45296</v>
      </c>
      <c r="C3" t="inlineStr">
        <is>
          <t>Corporate</t>
        </is>
      </c>
      <c r="D3" t="inlineStr">
        <is>
          <t>East</t>
        </is>
      </c>
      <c r="E3" t="inlineStr">
        <is>
          <t>Office Supplies</t>
        </is>
      </c>
      <c r="F3" t="inlineStr">
        <is>
          <t>Paper</t>
        </is>
      </c>
      <c r="G3" t="n">
        <v>5</v>
      </c>
      <c r="H3" s="5" t="n">
        <v>12.5</v>
      </c>
      <c r="I3" s="5" t="n">
        <v>62.5</v>
      </c>
      <c r="J3" s="5" t="n">
        <v>18.75</v>
      </c>
    </row>
    <row r="4">
      <c r="A4" t="inlineStr">
        <is>
          <t>CA-1003</t>
        </is>
      </c>
      <c r="B4" s="4" t="n">
        <v>45300</v>
      </c>
      <c r="C4" t="inlineStr">
        <is>
          <t>Home Office</t>
        </is>
      </c>
      <c r="D4" t="inlineStr">
        <is>
          <t>Central</t>
        </is>
      </c>
      <c r="E4" t="inlineStr">
        <is>
          <t>Furniture</t>
        </is>
      </c>
      <c r="F4" t="inlineStr">
        <is>
          <t>Chairs</t>
        </is>
      </c>
      <c r="G4" t="n">
        <v>1</v>
      </c>
      <c r="H4" s="5" t="n">
        <v>149</v>
      </c>
      <c r="I4" s="5" t="n">
        <v>149</v>
      </c>
      <c r="J4" s="5" t="n">
        <v>22.35</v>
      </c>
    </row>
    <row r="5">
      <c r="A5" t="inlineStr">
        <is>
          <t>CA-1004</t>
        </is>
      </c>
      <c r="B5" s="4" t="n">
        <v>45302</v>
      </c>
      <c r="C5" t="inlineStr">
        <is>
          <t>Consumer</t>
        </is>
      </c>
      <c r="D5" t="inlineStr">
        <is>
          <t>South</t>
        </is>
      </c>
      <c r="E5" t="inlineStr">
        <is>
          <t>Technology</t>
        </is>
      </c>
      <c r="F5" t="inlineStr">
        <is>
          <t>Accessories</t>
        </is>
      </c>
      <c r="G5" t="n">
        <v>3</v>
      </c>
      <c r="H5" s="5" t="n">
        <v>24.99</v>
      </c>
      <c r="I5" s="5" t="n">
        <v>74.97</v>
      </c>
      <c r="J5" s="5" t="n">
        <v>14.99</v>
      </c>
    </row>
    <row r="6">
      <c r="A6" t="inlineStr">
        <is>
          <t>CA-1005</t>
        </is>
      </c>
      <c r="B6" s="4" t="n">
        <v>45305</v>
      </c>
      <c r="C6" t="inlineStr">
        <is>
          <t>Corporate</t>
        </is>
      </c>
      <c r="D6" t="inlineStr">
        <is>
          <t>West</t>
        </is>
      </c>
      <c r="E6" t="inlineStr">
        <is>
          <t>Office Supplies</t>
        </is>
      </c>
      <c r="F6" t="inlineStr">
        <is>
          <t>Binders</t>
        </is>
      </c>
      <c r="G6" t="n">
        <v>4</v>
      </c>
      <c r="H6" s="5" t="n">
        <v>8.99</v>
      </c>
      <c r="I6" s="5" t="n">
        <v>35.96</v>
      </c>
      <c r="J6" s="5" t="n">
        <v>7.19</v>
      </c>
    </row>
    <row r="7">
      <c r="A7" t="inlineStr">
        <is>
          <t>CA-1006</t>
        </is>
      </c>
      <c r="B7" s="4" t="n">
        <v>45308</v>
      </c>
      <c r="C7" t="inlineStr">
        <is>
          <t>Consumer</t>
        </is>
      </c>
      <c r="D7" t="inlineStr">
        <is>
          <t>East</t>
        </is>
      </c>
      <c r="E7" t="inlineStr">
        <is>
          <t>Furniture</t>
        </is>
      </c>
      <c r="F7" t="inlineStr">
        <is>
          <t>Tables</t>
        </is>
      </c>
      <c r="G7" t="n">
        <v>1</v>
      </c>
      <c r="H7" s="5" t="n">
        <v>220</v>
      </c>
      <c r="I7" s="5" t="n">
        <v>220</v>
      </c>
      <c r="J7" s="5" t="n">
        <v>-11</v>
      </c>
    </row>
    <row r="8">
      <c r="A8" t="inlineStr">
        <is>
          <t>CA-1007</t>
        </is>
      </c>
      <c r="B8" s="4" t="n">
        <v>45311</v>
      </c>
      <c r="C8" t="inlineStr">
        <is>
          <t>Home Office</t>
        </is>
      </c>
      <c r="D8" t="inlineStr">
        <is>
          <t>Central</t>
        </is>
      </c>
      <c r="E8" t="inlineStr">
        <is>
          <t>Technology</t>
        </is>
      </c>
      <c r="F8" t="inlineStr">
        <is>
          <t>Machines</t>
        </is>
      </c>
      <c r="G8" t="n">
        <v>1</v>
      </c>
      <c r="H8" s="5" t="n">
        <v>599</v>
      </c>
      <c r="I8" s="5" t="n">
        <v>599</v>
      </c>
      <c r="J8" s="5" t="n">
        <v>59.9</v>
      </c>
    </row>
    <row r="9">
      <c r="A9" t="inlineStr">
        <is>
          <t>CA-1008</t>
        </is>
      </c>
      <c r="B9" s="4" t="n">
        <v>45313</v>
      </c>
      <c r="C9" t="inlineStr">
        <is>
          <t>Consumer</t>
        </is>
      </c>
      <c r="D9" t="inlineStr">
        <is>
          <t>South</t>
        </is>
      </c>
      <c r="E9" t="inlineStr">
        <is>
          <t>Office Supplies</t>
        </is>
      </c>
      <c r="F9" t="inlineStr">
        <is>
          <t>Storage</t>
        </is>
      </c>
      <c r="G9" t="n">
        <v>2</v>
      </c>
      <c r="H9" s="5" t="n">
        <v>39.99</v>
      </c>
      <c r="I9" s="5" t="n">
        <v>79.98</v>
      </c>
      <c r="J9" s="5" t="n">
        <v>19.99</v>
      </c>
    </row>
    <row r="10">
      <c r="A10" t="inlineStr">
        <is>
          <t>CA-1009</t>
        </is>
      </c>
      <c r="B10" s="4" t="n">
        <v>45316</v>
      </c>
      <c r="C10" t="inlineStr">
        <is>
          <t>Corporate</t>
        </is>
      </c>
      <c r="D10" t="inlineStr">
        <is>
          <t>West</t>
        </is>
      </c>
      <c r="E10" t="inlineStr">
        <is>
          <t>Furniture</t>
        </is>
      </c>
      <c r="F10" t="inlineStr">
        <is>
          <t>Bookcases</t>
        </is>
      </c>
      <c r="G10" t="n">
        <v>1</v>
      </c>
      <c r="H10" s="5" t="n">
        <v>89</v>
      </c>
      <c r="I10" s="5" t="n">
        <v>89</v>
      </c>
      <c r="J10" s="5" t="n">
        <v>13.35</v>
      </c>
    </row>
    <row r="11">
      <c r="A11" t="inlineStr">
        <is>
          <t>CA-1010</t>
        </is>
      </c>
      <c r="B11" s="4" t="n">
        <v>45324</v>
      </c>
      <c r="C11" t="inlineStr">
        <is>
          <t>Consumer</t>
        </is>
      </c>
      <c r="D11" t="inlineStr">
        <is>
          <t>East</t>
        </is>
      </c>
      <c r="E11" t="inlineStr">
        <is>
          <t>Technology</t>
        </is>
      </c>
      <c r="F11" t="inlineStr">
        <is>
          <t>Phones</t>
        </is>
      </c>
      <c r="G11" t="n">
        <v>1</v>
      </c>
      <c r="H11" s="5" t="n">
        <v>249</v>
      </c>
      <c r="I11" s="5" t="n">
        <v>249</v>
      </c>
      <c r="J11" s="5" t="n">
        <v>49.8</v>
      </c>
    </row>
    <row r="12">
      <c r="A12" t="inlineStr">
        <is>
          <t>CA-1011</t>
        </is>
      </c>
      <c r="B12" s="4" t="n">
        <v>45326</v>
      </c>
      <c r="C12" t="inlineStr">
        <is>
          <t>Corporate</t>
        </is>
      </c>
      <c r="D12" t="inlineStr">
        <is>
          <t>Central</t>
        </is>
      </c>
      <c r="E12" t="inlineStr">
        <is>
          <t>Office Supplies</t>
        </is>
      </c>
      <c r="F12" t="inlineStr">
        <is>
          <t>Paper</t>
        </is>
      </c>
      <c r="G12" t="n">
        <v>10</v>
      </c>
      <c r="H12" s="5" t="n">
        <v>5.99</v>
      </c>
      <c r="I12" s="5" t="n">
        <v>59.90000000000001</v>
      </c>
      <c r="J12" s="5" t="n">
        <v>17.97</v>
      </c>
    </row>
    <row r="13">
      <c r="A13" t="inlineStr">
        <is>
          <t>CA-1012</t>
        </is>
      </c>
      <c r="B13" s="4" t="n">
        <v>45329</v>
      </c>
      <c r="C13" t="inlineStr">
        <is>
          <t>Home Office</t>
        </is>
      </c>
      <c r="D13" t="inlineStr">
        <is>
          <t>South</t>
        </is>
      </c>
      <c r="E13" t="inlineStr">
        <is>
          <t>Furniture</t>
        </is>
      </c>
      <c r="F13" t="inlineStr">
        <is>
          <t>Chairs</t>
        </is>
      </c>
      <c r="G13" t="n">
        <v>2</v>
      </c>
      <c r="H13" s="5" t="n">
        <v>75</v>
      </c>
      <c r="I13" s="5" t="n">
        <v>150</v>
      </c>
      <c r="J13" s="5" t="n">
        <v>15</v>
      </c>
    </row>
    <row r="14">
      <c r="A14" t="inlineStr">
        <is>
          <t>CA-1013</t>
        </is>
      </c>
      <c r="B14" s="4" t="n">
        <v>45332</v>
      </c>
      <c r="C14" t="inlineStr">
        <is>
          <t>Consumer</t>
        </is>
      </c>
      <c r="D14" t="inlineStr">
        <is>
          <t>West</t>
        </is>
      </c>
      <c r="E14" t="inlineStr">
        <is>
          <t>Technology</t>
        </is>
      </c>
      <c r="F14" t="inlineStr">
        <is>
          <t>Accessories</t>
        </is>
      </c>
      <c r="G14" t="n">
        <v>5</v>
      </c>
      <c r="H14" s="5" t="n">
        <v>19.99</v>
      </c>
      <c r="I14" s="5" t="n">
        <v>99.94999999999999</v>
      </c>
      <c r="J14" s="5" t="n">
        <v>24.99</v>
      </c>
    </row>
    <row r="15">
      <c r="A15" t="inlineStr">
        <is>
          <t>CA-1014</t>
        </is>
      </c>
      <c r="B15" s="4" t="n">
        <v>45335</v>
      </c>
      <c r="C15" t="inlineStr">
        <is>
          <t>Corporate</t>
        </is>
      </c>
      <c r="D15" t="inlineStr">
        <is>
          <t>East</t>
        </is>
      </c>
      <c r="E15" t="inlineStr">
        <is>
          <t>Office Supplies</t>
        </is>
      </c>
      <c r="F15" t="inlineStr">
        <is>
          <t>Binders</t>
        </is>
      </c>
      <c r="G15" t="n">
        <v>2</v>
      </c>
      <c r="H15" s="5" t="n">
        <v>14.99</v>
      </c>
      <c r="I15" s="5" t="n">
        <v>29.98</v>
      </c>
      <c r="J15" s="5" t="n">
        <v>5.99</v>
      </c>
    </row>
    <row r="16">
      <c r="A16" t="inlineStr">
        <is>
          <t>CA-1015</t>
        </is>
      </c>
      <c r="B16" s="4" t="n">
        <v>45338</v>
      </c>
      <c r="C16" t="inlineStr">
        <is>
          <t>Consumer</t>
        </is>
      </c>
      <c r="D16" t="inlineStr">
        <is>
          <t>Central</t>
        </is>
      </c>
      <c r="E16" t="inlineStr">
        <is>
          <t>Furniture</t>
        </is>
      </c>
      <c r="F16" t="inlineStr">
        <is>
          <t>Tables</t>
        </is>
      </c>
      <c r="G16" t="n">
        <v>1</v>
      </c>
      <c r="H16" s="5" t="n">
        <v>129</v>
      </c>
      <c r="I16" s="5" t="n">
        <v>129</v>
      </c>
      <c r="J16" s="5" t="n">
        <v>19.35</v>
      </c>
    </row>
    <row r="17">
      <c r="A17" t="inlineStr">
        <is>
          <t>CA-1016</t>
        </is>
      </c>
      <c r="B17" s="4" t="n">
        <v>45342</v>
      </c>
      <c r="C17" t="inlineStr">
        <is>
          <t>Home Office</t>
        </is>
      </c>
      <c r="D17" t="inlineStr">
        <is>
          <t>South</t>
        </is>
      </c>
      <c r="E17" t="inlineStr">
        <is>
          <t>Technology</t>
        </is>
      </c>
      <c r="F17" t="inlineStr">
        <is>
          <t>Phones</t>
        </is>
      </c>
      <c r="G17" t="n">
        <v>2</v>
      </c>
      <c r="H17" s="5" t="n">
        <v>179</v>
      </c>
      <c r="I17" s="5" t="n">
        <v>358</v>
      </c>
      <c r="J17" s="5" t="n">
        <v>71.59999999999999</v>
      </c>
    </row>
    <row r="18">
      <c r="A18" t="inlineStr">
        <is>
          <t>CA-1017</t>
        </is>
      </c>
      <c r="B18" s="4" t="n">
        <v>45345</v>
      </c>
      <c r="C18" t="inlineStr">
        <is>
          <t>Corporate</t>
        </is>
      </c>
      <c r="D18" t="inlineStr">
        <is>
          <t>West</t>
        </is>
      </c>
      <c r="E18" t="inlineStr">
        <is>
          <t>Office Supplies</t>
        </is>
      </c>
      <c r="F18" t="inlineStr">
        <is>
          <t>Paper</t>
        </is>
      </c>
      <c r="G18" t="n">
        <v>6</v>
      </c>
      <c r="H18" s="5" t="n">
        <v>7.5</v>
      </c>
      <c r="I18" s="5" t="n">
        <v>45</v>
      </c>
      <c r="J18" s="5" t="n">
        <v>13.5</v>
      </c>
    </row>
    <row r="19">
      <c r="A19" t="inlineStr">
        <is>
          <t>CA-1018</t>
        </is>
      </c>
      <c r="B19" s="4" t="n">
        <v>45347</v>
      </c>
      <c r="C19" t="inlineStr">
        <is>
          <t>Consumer</t>
        </is>
      </c>
      <c r="D19" t="inlineStr">
        <is>
          <t>East</t>
        </is>
      </c>
      <c r="E19" t="inlineStr">
        <is>
          <t>Furniture</t>
        </is>
      </c>
      <c r="F19" t="inlineStr">
        <is>
          <t>Chairs</t>
        </is>
      </c>
      <c r="G19" t="n">
        <v>1</v>
      </c>
      <c r="H19" s="5" t="n">
        <v>99</v>
      </c>
      <c r="I19" s="5" t="n">
        <v>99</v>
      </c>
      <c r="J19" s="5" t="n">
        <v>9.9</v>
      </c>
    </row>
    <row r="20">
      <c r="A20" t="inlineStr">
        <is>
          <t>CA-1019</t>
        </is>
      </c>
      <c r="B20" s="4" t="n">
        <v>45352</v>
      </c>
      <c r="C20" t="inlineStr">
        <is>
          <t>Corporate</t>
        </is>
      </c>
      <c r="D20" t="inlineStr">
        <is>
          <t>Central</t>
        </is>
      </c>
      <c r="E20" t="inlineStr">
        <is>
          <t>Technology</t>
        </is>
      </c>
      <c r="F20" t="inlineStr">
        <is>
          <t>Accessories</t>
        </is>
      </c>
      <c r="G20" t="n">
        <v>4</v>
      </c>
      <c r="H20" s="5" t="n">
        <v>22</v>
      </c>
      <c r="I20" s="5" t="n">
        <v>88</v>
      </c>
      <c r="J20" s="5" t="n">
        <v>26.4</v>
      </c>
    </row>
    <row r="21">
      <c r="A21" t="inlineStr">
        <is>
          <t>CA-1020</t>
        </is>
      </c>
      <c r="B21" s="4" t="n">
        <v>45356</v>
      </c>
      <c r="C21" t="inlineStr">
        <is>
          <t>Consumer</t>
        </is>
      </c>
      <c r="D21" t="inlineStr">
        <is>
          <t>South</t>
        </is>
      </c>
      <c r="E21" t="inlineStr">
        <is>
          <t>Office Supplies</t>
        </is>
      </c>
      <c r="F21" t="inlineStr">
        <is>
          <t>Storage</t>
        </is>
      </c>
      <c r="G21" t="n">
        <v>3</v>
      </c>
      <c r="H21" s="5" t="n">
        <v>18.99</v>
      </c>
      <c r="I21" s="5" t="n">
        <v>56.97</v>
      </c>
      <c r="J21" s="5" t="n">
        <v>11.39</v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8" customWidth="1" min="3" max="3"/>
    <col width="38" customWidth="1" min="4" max="4"/>
  </cols>
  <sheetData>
    <row r="1">
      <c r="A1" s="3" t="inlineStr">
        <is>
          <t>KPI</t>
        </is>
      </c>
      <c r="B1" s="3" t="inlineStr">
        <is>
          <t>Excel Formula</t>
        </is>
      </c>
      <c r="C1" s="3" t="inlineStr">
        <is>
          <t>Calculated Value</t>
        </is>
      </c>
      <c r="D1" s="3" t="inlineStr">
        <is>
          <t>Meaning</t>
        </is>
      </c>
    </row>
    <row r="2">
      <c r="A2" t="inlineStr">
        <is>
          <t>Total Sales</t>
        </is>
      </c>
      <c r="B2">
        <f>SUM(Orders[Sales])</f>
        <v/>
      </c>
      <c r="C2" s="5" t="n">
        <v>3075.19</v>
      </c>
      <c r="D2" t="inlineStr">
        <is>
          <t>Sum of all transaction sales</t>
        </is>
      </c>
    </row>
    <row r="3">
      <c r="A3" t="inlineStr">
        <is>
          <t>Average Sales</t>
        </is>
      </c>
      <c r="B3">
        <f>AVERAGE(Orders[Sales])</f>
        <v/>
      </c>
      <c r="C3" s="5" t="n">
        <v>153.7595</v>
      </c>
      <c r="D3" t="inlineStr">
        <is>
          <t>Mean sales value per transaction row</t>
        </is>
      </c>
    </row>
    <row r="4">
      <c r="A4" t="inlineStr">
        <is>
          <t>Transaction Count</t>
        </is>
      </c>
      <c r="B4">
        <f>COUNTA(Orders[Order ID])</f>
        <v/>
      </c>
      <c r="C4" s="5" t="n">
        <v>20</v>
      </c>
      <c r="D4" t="inlineStr">
        <is>
          <t>Number of order-line records</t>
        </is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2026-10-14T06:48:47Z</dcterms:created>
  <dcterms:modified xmlns:dcterms="http://purl.org/dc/terms/" xmlns:xsi="http://www.w3.org/2001/XMLSchema-instance" xsi:type="dcterms:W3CDTF">2026-10-14T06:48:47Z</dcterms:modified>
</cp:coreProperties>
</file>